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① 시작 안내" sheetId="1" state="visible" r:id="rId1"/>
    <sheet xmlns:r="http://schemas.openxmlformats.org/officeDocument/2006/relationships" name="1_추가프롬프트 만들기" sheetId="2" state="visible" r:id="rId2"/>
    <sheet xmlns:r="http://schemas.openxmlformats.org/officeDocument/2006/relationships" name="문항 형태 (골라 쓰세요)" sheetId="3" state="visible" r:id="rId3"/>
    <sheet xmlns:r="http://schemas.openxmlformats.org/officeDocument/2006/relationships" name="2_문항 만들기" sheetId="4" state="visible" r:id="rId4"/>
    <sheet xmlns:r="http://schemas.openxmlformats.org/officeDocument/2006/relationships" name="3_한글 파일로 보내기" sheetId="5" state="visible" r:id="rId5"/>
    <sheet xmlns:r="http://schemas.openxmlformats.org/officeDocument/2006/relationships" name="예시 결과 (완성된 문항)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b val="1"/>
      <color rgb="FFC55A11"/>
      <sz val="10"/>
    </font>
    <font>
      <name val="맑은 고딕"/>
      <charset val="129"/>
      <family val="3"/>
      <color rgb="FFC55A11"/>
      <sz val="10"/>
    </font>
    <font>
      <name val="맑은 고딕"/>
      <charset val="129"/>
      <family val="3"/>
      <b val="1"/>
      <color rgb="FF1F3864"/>
      <sz val="16"/>
    </font>
    <font>
      <name val="맑은 고딕"/>
      <charset val="129"/>
      <family val="3"/>
      <b val="1"/>
      <color rgb="FF2E75B6"/>
      <sz val="13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C00000"/>
      <sz val="11"/>
    </font>
    <font>
      <name val="맑은 고딕"/>
      <charset val="129"/>
      <family val="3"/>
      <color rgb="FF375623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1F3864"/>
      <sz val="18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9"/>
      <scheme val="minor"/>
    </font>
    <font>
      <name val="맑은 고딕"/>
      <color rgb="005B6570"/>
      <sz val="10"/>
    </font>
  </fonts>
  <fills count="9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FFF2CC"/>
      </patternFill>
    </fill>
    <fill>
      <patternFill patternType="solid">
        <fgColor rgb="FF808080"/>
      </patternFill>
    </fill>
    <fill>
      <patternFill patternType="solid">
        <fgColor rgb="FFFCE4D6"/>
      </patternFill>
    </fill>
    <fill>
      <patternFill patternType="solid">
        <fgColor rgb="FFDE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4" fillId="0" borderId="0" pivotButton="0" quotePrefix="0" xfId="0"/>
    <xf numFmtId="0" fontId="9" fillId="0" borderId="0" applyAlignment="1" pivotButton="0" quotePrefix="0" xfId="0">
      <alignment vertical="center" wrapText="1"/>
    </xf>
    <xf numFmtId="0" fontId="8" fillId="0" borderId="0" pivotButton="0" quotePrefix="0" xfId="0"/>
    <xf numFmtId="0" fontId="3" fillId="7" borderId="0" applyAlignment="1" pivotButton="0" quotePrefix="0" xfId="0">
      <alignment vertical="center" wrapText="1"/>
    </xf>
    <xf numFmtId="0" fontId="11" fillId="8" borderId="0" applyAlignment="1" pivotButton="0" quotePrefix="0" xfId="0">
      <alignment vertical="center" wrapText="1"/>
    </xf>
    <xf numFmtId="0" fontId="10" fillId="4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pivotButton="0" quotePrefix="0" xfId="0"/>
    <xf numFmtId="0" fontId="5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2" fillId="3" borderId="0" applyAlignment="1" pivotButton="0" quotePrefix="0" xfId="0">
      <alignment vertical="center" wrapText="1"/>
    </xf>
    <xf numFmtId="0" fontId="13" fillId="8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0" pivotButton="0" quotePrefix="0" xfId="0"/>
    <xf numFmtId="0" fontId="6" fillId="6" borderId="0" applyAlignment="1" pivotButton="0" quotePrefix="0" xfId="0">
      <alignment vertical="center" wrapText="1"/>
    </xf>
    <xf numFmtId="0" fontId="16" fillId="0" borderId="1" applyAlignment="1" pivotButton="0" quotePrefix="0" xfId="0">
      <alignment vertical="top" wrapText="1"/>
    </xf>
    <xf numFmtId="0" fontId="17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55A11"/>
    <outlinePr summaryBelow="1" summaryRight="1"/>
    <pageSetUpPr/>
  </sheetPr>
  <dimension ref="C1:C82"/>
  <sheetViews>
    <sheetView showGridLines="0" tabSelected="1" workbookViewId="0">
      <selection activeCell="C2" sqref="C2"/>
    </sheetView>
  </sheetViews>
  <sheetFormatPr baseColWidth="8" defaultRowHeight="17"/>
  <cols>
    <col width="3" customWidth="1" style="23" min="1" max="1"/>
    <col width="6" customWidth="1" style="23" min="2" max="2"/>
    <col width="104" customWidth="1" style="23" min="3" max="3"/>
  </cols>
  <sheetData>
    <row r="1"/>
    <row r="2" ht="30" customHeight="1" s="23">
      <c r="C2" s="1" t="inlineStr">
        <is>
          <t>미션 5  ·  시험 출제 풀코스  —  분류표에서 시험지·정답지·삽화까지</t>
        </is>
      </c>
    </row>
    <row r="3">
      <c r="C3" s="2" t="inlineStr">
        <is>
          <t>걸리는 시간: 약 18분  (1~3단계는 ★ 40분 핵심 코스, 4단계 삽화는 심화)   |   이 미션 하나가 이 실습의 심장입니다.</t>
        </is>
      </c>
    </row>
    <row r="4" s="23">
      <c r="C4" s="27" t="inlineStr">
        <is>
          <t>이 파일은 [DRM AI 처음 40분 실습자료] 묶음의 일부입니다.  함께 들어 있는 실습 시뮬레이터에서 같은 미션을 먼저 눌러 보시면 훨씬 쉽습니다. (꾸러미로 받으셨으면 00_먼저_읽어보세요.html 의 파란 단추, 웹에서 받으셨으면 안내 페이지의 파란 단추입니다.)  묶음에는 실습1~6 엑셀과 [연습용_파일들] · [프롬프트_모음] 폴더가 함께 들어 있습니다.</t>
        </is>
      </c>
    </row>
    <row r="5" ht="24" customHeight="1" s="23">
      <c r="C5" s="3" t="inlineStr">
        <is>
          <t>전체 흐름</t>
        </is>
      </c>
    </row>
    <row r="6">
      <c r="C6" s="2" t="inlineStr">
        <is>
          <t xml:space="preserve">  [1] 이원목적분류표를 적는다      →  추가 프롬프트 15개가 수식으로 저절로 완성</t>
        </is>
      </c>
    </row>
    <row r="7">
      <c r="C7" s="2" t="inlineStr">
        <is>
          <t xml:space="preserve">  [2] 행 단위 병렬 처리 한 번      →  문항 15개가 한꺼번에 만들어짐</t>
        </is>
      </c>
    </row>
    <row r="8">
      <c r="C8" s="2" t="inlineStr">
        <is>
          <t xml:space="preserve">  [3] 한글 파일 만들기 두 번       →  학생용 시험지 / 교사용 정답지</t>
        </is>
      </c>
    </row>
    <row r="9">
      <c r="C9" s="2" t="inlineStr">
        <is>
          <t xml:space="preserve">  [4] 이미지 행 단위 병렬 생성     →  그림이 필요한 문항의 삽화  (심화)</t>
        </is>
      </c>
    </row>
    <row r="10"/>
    <row r="11" ht="24" customHeight="1" s="23">
      <c r="C11" s="3" t="inlineStr">
        <is>
          <t>1단계 — 추가 프롬프트 자동으로 만들기   (약 3분)</t>
        </is>
      </c>
    </row>
    <row r="12">
      <c r="C12" s="2" t="inlineStr">
        <is>
          <t>[1_추가프롬프트 만들기] 시트를 엽니다. 선생님이 시험 전에 늘 만드시는 이원목적분류표 그대로입니다.</t>
        </is>
      </c>
    </row>
    <row r="13">
      <c r="C13" s="2" t="inlineStr">
        <is>
          <t>H열을 클릭해 보세요. 손으로 쓴 문장이 아니라 수식입니다. B~G 칸의 값을 그대로 이어 붙여 문장을 만듭니다.</t>
        </is>
      </c>
    </row>
    <row r="14" ht="22" customHeight="1" s="23">
      <c r="C14" s="4" t="inlineStr">
        <is>
          <t>해 볼 것 :  B2 칸의 내용을 다른 주제로 바꿔 보세요. H2 문장이 즉시 따라 바뀝니다.</t>
        </is>
      </c>
    </row>
    <row r="15" ht="22" customHeight="1" s="23">
      <c r="C15" s="4" t="inlineStr">
        <is>
          <t>해 볼 것 :  G2 의 정답을 ③ 에서 ① 로 바꿔 보세요. 오른쪽 '정답 번호 분포'가 즉시 바뀝니다.</t>
        </is>
      </c>
    </row>
    <row r="16" ht="32" customHeight="1" s="23">
      <c r="C16" s="6" t="inlineStr">
        <is>
          <t>확인하셨으면 Ctrl+Z 를 두 번 눌러 원래대로 되돌린 뒤 (손으로 고친 값이라 Ctrl+Z 가 됩니다. 추가기능이 쓴 값만 안 됩니다) 2단계로 가세요. 그대로 두면 아래 설명과 결과가 달라집니다.</t>
        </is>
      </c>
    </row>
    <row r="17" ht="32" customHeight="1" s="23">
      <c r="C17" s="5" t="inlineStr">
        <is>
          <t>이게 이 방식의 핵심입니다. 15개 문항의 요청 문장을 손으로 쓰면 30분입니다. 표만 채우면 0초입니다. 분류표를 고치면 프롬프트도 같이 고쳐집니다.</t>
        </is>
      </c>
    </row>
    <row r="18">
      <c r="C18" s="2" t="inlineStr">
        <is>
          <t>[문항 형태 (골라 쓰세요)] 시트에 18가지 형태가 있습니다. 칸을 복사해 D열에 붙여 넣으면 됩니다.</t>
        </is>
      </c>
    </row>
    <row r="19" ht="32" customHeight="1" s="23">
      <c r="C19" s="6" t="inlineStr">
        <is>
          <t>H열은 손으로 고치지 마세요. 수식이 지워져 다음부터 자동 완성이 안 됩니다. 고칠 때는 B~G 칸만 고칩니다.</t>
        </is>
      </c>
    </row>
    <row r="20"/>
    <row r="21" ht="24" customHeight="1" s="23">
      <c r="C21" s="3" t="inlineStr">
        <is>
          <t>2단계 — 문항 15개 한꺼번에 만들기   (약 6분)</t>
        </is>
      </c>
    </row>
    <row r="22" ht="22" customHeight="1" s="23">
      <c r="C22" s="4" t="inlineStr">
        <is>
          <t>1.  [2_문항 만들기] 시트를 엽니다. F열에는 1번 시트의 추가 프롬프트가 이미 연결되어 있습니다.</t>
        </is>
      </c>
    </row>
    <row r="23" ht="22" customHeight="1" s="23">
      <c r="C23" s="4" t="inlineStr">
        <is>
          <t>2.  [데이터] 탭 → [API 메뉴] → [DRM AI v10.7] → [Gemini 실행] → [Gemini로 글과 파일(이미지, TXT, PDF, 음성 등) 행 단위 병렬 처리]</t>
        </is>
      </c>
    </row>
    <row r="24" ht="22" customHeight="1" s="23">
      <c r="C24" s="4" t="inlineStr">
        <is>
          <t>3.  '동시 실행 수' → 5 를 입력.  (문항 생성은 답이 길어서 조금 낮추는 편이 안전합니다)</t>
        </is>
      </c>
    </row>
    <row r="25" ht="22" customHeight="1" s="23">
      <c r="C25" s="4" t="inlineStr">
        <is>
          <t>4.  'URL 확장 모드' → [아니오].</t>
        </is>
      </c>
    </row>
    <row r="26" ht="22" customHeight="1" s="23">
      <c r="C26" s="4" t="inlineStr">
        <is>
          <t>5.  '병렬 처리 설정 확인' → [확인].</t>
        </is>
      </c>
    </row>
    <row r="27" ht="22" customHeight="1" s="23">
      <c r="C27" s="4" t="inlineStr">
        <is>
          <t>6.  '프롬프트 가져오기 방식 선택' → [아니오]  (프롬프트 관리 폼에서 선택)</t>
        </is>
      </c>
    </row>
    <row r="28" ht="22" customHeight="1" s="23">
      <c r="C28" s="4" t="inlineStr">
        <is>
          <t>7.  목록에서  [문제 제작_5지 선다형_추가프롬프트]  를 고르고  [Prompt 사용하기]  를 누릅니다.</t>
        </is>
      </c>
    </row>
    <row r="29" ht="22" customHeight="1" s="23">
      <c r="C29" s="4" t="inlineStr">
        <is>
          <t>8.  '데이터 범위 선택' → B2 부터 B16 까지 끌어 선택.  교과서 PDF를 함께 쓸 때는 B2:E16 처럼 경로 열까지 잡습니다.</t>
        </is>
      </c>
    </row>
    <row r="30" ht="22" customHeight="1" s="23">
      <c r="C30" s="4" t="inlineStr">
        <is>
          <t>9.  '추가 프롬프트 열' → F 를 입력.</t>
        </is>
      </c>
    </row>
    <row r="31" ht="22" customHeight="1" s="23">
      <c r="C31" s="4" t="inlineStr">
        <is>
          <t>10. '결과 저장 열' → G 를 입력.</t>
        </is>
      </c>
    </row>
    <row r="32" ht="22" customHeight="1" s="23">
      <c r="C32" s="4" t="inlineStr">
        <is>
          <t>11. 완료되면 G열에 문항 15개가 들어옵니다. [예시 결과] 시트와 모양을 비교해 보세요.</t>
        </is>
      </c>
    </row>
    <row r="33" ht="32" customHeight="1" s="23">
      <c r="C33" s="5" t="inlineStr">
        <is>
          <t>왜 이렇게 잘 나오나요 —  공통 프롬프트(= [프롬프트 관리]에서 고른 것)가 '5지 선다형을 어떻게 만들 것인가'라는 규칙(발문 어투, 선택지 길이 순서, 보기 조합형 배열, 출력 형식)을 담고, 추가 프롬프트(F열)가 '이번 문항은 무엇에 대해 · 어떤 형태로 · 몇 점짜리 · 정답 몇 번'인지를 알려 주기 때문입니다. 규칙은 한 번만 쓰고 조건만 행마다 바꾸는 구조입니다.</t>
        </is>
      </c>
    </row>
    <row r="34">
      <c r="C34" s="2" t="inlineStr">
        <is>
          <t>이 프롬프트는 추가기능에 처음부터 들어 있는 것입니다. 새로 만들 필요가 없습니다.</t>
        </is>
      </c>
    </row>
    <row r="35" ht="64" customHeight="1" s="23">
      <c r="C35" s="5" t="inlineStr">
        <is>
          <t>참고 — [교사를 위한 올인원 도우미] 안의 [평가업무도우미] → [평가문항 만들기] 로도 같은 일을 할 수 있습니다. 설계 엑셀(내용 영역·배점·난이도·정답)을 그 창에서 새로 만들어 채우면 AI 가 문항을 자동 생성하고 시험지까지 이어 줍니다. 그 창의 [설정] 에 AI 키를 따로 넣어야 하고 요금이 들며, 결과는 선생님이 검토해야 합니다. 이 미션은 같은 원리를 엑셀 추가기능으로 직접 해 보는 것입니다.</t>
        </is>
      </c>
    </row>
    <row r="36" ht="24" customHeight="1" s="23">
      <c r="C36" s="3" t="inlineStr">
        <is>
          <t>3단계 — 한글 시험지와 정답지 만들기   (약 5분)</t>
        </is>
      </c>
    </row>
    <row r="37" ht="32" customHeight="1" s="23">
      <c r="C37" s="6" t="inlineStr">
        <is>
          <t>준비물 :  한글(HWP) 프로그램이 설치되어 있어야 합니다. 한글의 [도구] → [환경 설정] → [기타] 에서 '외부 프로그램에서 한글 문서에 접근 허용'이 켜져 있어야 합니다.</t>
        </is>
      </c>
    </row>
    <row r="38">
      <c r="C38" s="2" t="inlineStr">
        <is>
          <t>먼저 학생용 시험지를 만듭니다.</t>
        </is>
      </c>
    </row>
    <row r="39" ht="22" customHeight="1" s="23">
      <c r="C39" s="4" t="inlineStr">
        <is>
          <t>1.  [2_문항 만들기] 시트에서 G2 부터 G16 까지 끌어 선택합니다.  (반드시 한 열만)</t>
        </is>
      </c>
    </row>
    <row r="40" ht="22" customHeight="1" s="23">
      <c r="C40" s="4" t="inlineStr">
        <is>
          <t>2.  [데이터] 탭 → [API 메뉴] → [DRM AI v10.7] → [일반 기능] → [한글 파일 만들기]</t>
        </is>
      </c>
    </row>
    <row r="41" ht="22" customHeight="1" s="23">
      <c r="C41" s="4" t="inlineStr">
        <is>
          <t>3.  '한글 파일 생성 범위 선택' → 선택한 범위를 확인하고 [확인].</t>
        </is>
      </c>
    </row>
    <row r="42" ht="22" customHeight="1" s="23">
      <c r="C42" s="4" t="inlineStr">
        <is>
          <t>4.  '분할 문구 입력' → 기본값을 지우고    ## [문항 구성],**정답:**    을 입력합니다.</t>
        </is>
      </c>
    </row>
    <row r="43" ht="32" customHeight="1" s="23">
      <c r="C43" s="6" t="inlineStr">
        <is>
          <t>기준을 두 개 넣는 것이 핵심입니다. '## [문항 구성]' 하나만 넣으면 그 뒤 셀 끝까지 전부 나가서 정답과 풀이가 학생용 시험지에 그대로 인쇄됩니다. 두 번째 기준 '**정답:**' 이 '여기서 끊어라'는 표시입니다.</t>
        </is>
      </c>
    </row>
    <row r="44" ht="22" customHeight="1" s="23">
      <c r="C44" s="4" t="inlineStr">
        <is>
          <t>5.  '기준 문구 포함 여부' → [아니오].  (## [문항 구성] 이라는 글자는 시험지에 필요 없으니까요)</t>
        </is>
      </c>
    </row>
    <row r="45" ht="22" customHeight="1" s="23">
      <c r="C45" s="4" t="inlineStr">
        <is>
          <t>6.  '연번 적용' → [예].  1. 2. 3. … 번호가 자동으로 붙습니다.</t>
        </is>
      </c>
    </row>
    <row r="46" ht="22" customHeight="1" s="23">
      <c r="C46" s="4" t="inlineStr">
        <is>
          <t>7.  저장할 폴더를 고릅니다.</t>
        </is>
      </c>
    </row>
    <row r="47" ht="22" customHeight="1" s="23">
      <c r="C47" s="4" t="inlineStr">
        <is>
          <t>8.  파일 이름을 적습니다.  예)  2026_2학기_2학년사회_기말고사</t>
        </is>
      </c>
    </row>
    <row r="48" ht="22" customHeight="1" s="23">
      <c r="C48" s="4" t="inlineStr">
        <is>
          <t>9.  한글이 열리면서 파일이 만들어집니다.</t>
        </is>
      </c>
    </row>
    <row r="49" ht="34" customHeight="1" s="23">
      <c r="C49" s="2" t="inlineStr">
        <is>
          <t>이어서 교사용 정답지를 만듭니다. 같은 방법을 한 번 더 하되 4단계에서 분할 문구를   **정답:**   하나만 적고, '기준 문구 포함 여부'를 [예] 로 하면 정답과 풀이만 모인 파일이 나옵니다.</t>
        </is>
      </c>
    </row>
    <row r="50" ht="48" customHeight="1" s="23">
      <c r="C50" s="5" t="inlineStr">
        <is>
          <t>순서는 하나만 고르세요. ① 위 4번 그대로 ## [문항 구성],**정답:** 으로 하면 ** 같은 마크다운 기호가 시험지에 남습니다. ② 기호 없이 하려면 미션 2의 [마크다운 문법 기호, 빈 줄 정리](옵션 1,2,4,6,11)를 G열에 먼저 돌린 뒤, 분할 문구를 기호 없이 [문항 구성],정답: 으로 적습니다(정답지는 정답: 하나).</t>
        </is>
      </c>
    </row>
    <row r="51">
      <c r="C51" s="2" t="inlineStr">
        <is>
          <t>파일 이름 끝에 .hwpx 를 직접 붙이면 HWPX 형식으로 저장됩니다. 아무것도 안 붙이면 .hwp 입니다.</t>
        </is>
      </c>
    </row>
    <row r="52">
      <c r="C52" s="2" t="inlineStr">
        <is>
          <t>선택한 행이 모두 한 개 파일로 들어갑니다. 문항별로 파일을 나누는 기능은 없습니다.</t>
        </is>
      </c>
    </row>
    <row r="53"/>
    <row r="54" ht="24" customHeight="1" s="23">
      <c r="C54" s="3" t="inlineStr">
        <is>
          <t>4단계 — 문항에 넣을 삽화 만들기   (약 4분 · 심화)</t>
        </is>
      </c>
    </row>
    <row r="55" ht="32" customHeight="1" s="23">
      <c r="C55" s="6" t="inlineStr">
        <is>
          <t>반드시 2단계를 먼저 끝내세요. G열이 비어 있는 채로 실행하면 빈 내용으로 그림을 만들어 돈만 나갑니다.</t>
        </is>
      </c>
    </row>
    <row r="56">
      <c r="C56" s="2" t="inlineStr">
        <is>
          <t>만들어진 문항 맨 위에는  ## [그림 생성 프롬프트]  가 있습니다. 그림이 필요 없는 문항에는 '없음' 이라고 적혀 나옵니다.</t>
        </is>
      </c>
    </row>
    <row r="57" ht="22" customHeight="1" s="23">
      <c r="C57" s="4" t="inlineStr">
        <is>
          <t>1.  [2_문항 만들기] 시트를 그대로 씁니다.  H열이 결과 자리입니다.</t>
        </is>
      </c>
    </row>
    <row r="58" ht="22" customHeight="1" s="23">
      <c r="C58" s="4" t="inlineStr">
        <is>
          <t>2.  [데이터] 탭 → [API 메뉴] → [DRM AI v10.7] → [Gemini 실행] → [Gemini로 이미지 행 단위 병렬 생성(Nano Banana)]</t>
        </is>
      </c>
    </row>
    <row r="59" ht="22" customHeight="1" s="23">
      <c r="C59" s="4" t="inlineStr">
        <is>
          <t>3.  '[설정 0/8] 모델 선택' → 1   (기본 권장 gemini-nano-banana-2.1)</t>
        </is>
      </c>
    </row>
    <row r="60" ht="22" customHeight="1" s="23">
      <c r="C60" s="4" t="inlineStr">
        <is>
          <t>4.  '[설정 1/8] 해상도' → 1   (1K, 이미지당 약 $0.044)</t>
        </is>
      </c>
    </row>
    <row r="61" ht="22" customHeight="1" s="23">
      <c r="C61" s="4" t="inlineStr">
        <is>
          <t>5.  '[설정 2/8] API 티어' → 1   (잘 모르면 1)</t>
        </is>
      </c>
    </row>
    <row r="62" ht="22" customHeight="1" s="23">
      <c r="C62" s="4" t="inlineStr">
        <is>
          <t>6.  '[설정 3/8] 비율' → 1  (정사각형) 또는 4 (4:3)</t>
        </is>
      </c>
    </row>
    <row r="63" ht="22" customHeight="1" s="23">
      <c r="C63" s="4" t="inlineStr">
        <is>
          <t>7.  '[설정 4/8] 기본 프롬프트 설정' → [예]</t>
        </is>
      </c>
    </row>
    <row r="64" ht="22" customHeight="1" s="23">
      <c r="C64" s="4" t="inlineStr">
        <is>
          <t>8.  '[설정 4/8] 기본 프롬프트 가져오기' → [아니오]  (프롬프트 입력창에서 선택)</t>
        </is>
      </c>
    </row>
    <row r="65" ht="22" customHeight="1" s="23">
      <c r="C65" s="4" t="inlineStr">
        <is>
          <t>9.  목록에서  [문제 제작_문제로 이미지 만들기]  를 고르고 [Prompt 사용하기].</t>
        </is>
      </c>
    </row>
    <row r="66" ht="22" customHeight="1" s="23">
      <c r="C66" s="4" t="inlineStr">
        <is>
          <t>10. '[설정 5/8] 이미지 프롬프트 범위' → G2 부터 G16 까지 끌어 선택.</t>
        </is>
      </c>
    </row>
    <row r="67" ht="22" customHeight="1" s="23">
      <c r="C67" s="4" t="inlineStr">
        <is>
          <t>11. '[설정 6/8] 입력 이미지 설정' → [아니오].</t>
        </is>
      </c>
    </row>
    <row r="68" ht="22" customHeight="1" s="23">
      <c r="C68" s="4" t="inlineStr">
        <is>
          <t>12. '[설정 7/8] 결과 저장 열' → H 를 입력.</t>
        </is>
      </c>
    </row>
    <row r="69" ht="22" customHeight="1" s="23">
      <c r="C69" s="4" t="inlineStr">
        <is>
          <t>13. H열에 만들어진 그림 파일 경로가 들어옵니다.  C:\MyTrustedFiles\이미지생성 폴더에 저장됩니다.</t>
        </is>
      </c>
    </row>
    <row r="70" ht="22" customHeight="1" s="23">
      <c r="C70" s="4" t="inlineStr">
        <is>
          <t>14. 그림을 눈으로 보려면 [일반 기능] → [경로 이미지를 열 단위로 삽입] 을 쓰면 시트에 붙습니다.</t>
        </is>
      </c>
    </row>
    <row r="71" ht="48" customHeight="1" s="23">
      <c r="C71" s="6" t="inlineStr">
        <is>
          <t>비용 주의 : 범위에 잡은 행은 모두 그림을 만듭니다. 문항 안에 '없음' 이라고 적혀 있어도 그 행까지 만듭니다. 15행을 잡으면 15장이 만들어지고 1K 기준 약 900원 남짓(장당 약 $0.044)입니다.</t>
        </is>
      </c>
    </row>
    <row r="72" ht="32" customHeight="1" s="23">
      <c r="C72" s="5" t="inlineStr">
        <is>
          <t>돈을 아끼려면 : G열을 훑어  ## [그림 생성 프롬프트]  아래에 내용이 있는 행만 골라 그 구간만 잡으세요. 행이 떨어져 있으면 두세 번 나누어 돌리면 됩니다. 보통 15문항 중 4~6문항만 그림이 필요합니다.</t>
        </is>
      </c>
    </row>
    <row r="73"/>
    <row r="74" ht="24" customHeight="1" s="23">
      <c r="C74" s="3" t="inlineStr">
        <is>
          <t>마지막 — 한글에 그림 넣기</t>
        </is>
      </c>
    </row>
    <row r="75">
      <c r="C75" s="2" t="inlineStr">
        <is>
          <t>3단계에서 만든 한글 파일을 열고, 4단계에서 만든 그림을 해당 문항 자리에 끌어다 놓으면 시험지가 완성됩니다.</t>
        </is>
      </c>
    </row>
    <row r="76" ht="32" customHeight="1" s="23">
      <c r="C76" s="6" t="inlineStr">
        <is>
          <t>AI가 만든 것은 초안입니다. 문항·생기부 문구·채점 결과 모두 선생님이 확인한 뒤에 쓰십시오. 이 도구는 초안을 아주 빠르게 만들어 줄 뿐 선생님의 판단을 대신하지 않습니다.</t>
        </is>
      </c>
    </row>
    <row r="77"/>
    <row r="78" ht="24" customHeight="1" s="23">
      <c r="C78" s="3" t="inlineStr">
        <is>
          <t>확인 문제</t>
        </is>
      </c>
    </row>
    <row r="79">
      <c r="C79" s="2" t="inlineStr">
        <is>
          <t>Q1. 15개 문항의 '요청 문장'을 손으로 하나씩 쓰지 않아도 되는 이유는 무엇인가요?</t>
        </is>
      </c>
    </row>
    <row r="80">
      <c r="C80" s="2" t="inlineStr">
        <is>
          <t>Q2. 공통 프롬프트와 추가 프롬프트는 각각 무슨 역할을 하나요?</t>
        </is>
      </c>
    </row>
    <row r="81">
      <c r="C81" s="2" t="inlineStr">
        <is>
          <t>Q3. 시험지에 정답과 풀이가 안 들어가게 하려면 '분할 문구'에 무엇을 적나요?</t>
        </is>
      </c>
    </row>
    <row r="82" ht="32" customHeight="1" s="23">
      <c r="C82" s="5" t="inlineStr">
        <is>
          <t>답 →  ① H열이 수식이라 표(B~G)만 채우면 문장이 저절로 만들어집니다.   ② 공통은 '문항을 만드는 규칙'(모든 행 공통), 추가는 '이번 문항의 조건'(행마다 다름).   ③ ## [문항 구성],**정답:**  두 개를 쉼표로 적고 '기준 문구 포함 여부'는 [아니오].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A1:O16"/>
  <sheetViews>
    <sheetView workbookViewId="0">
      <pane ySplit="1" topLeftCell="A13" activePane="bottomLeft" state="frozen"/>
      <selection pane="bottomLeft" activeCell="K11" sqref="K11"/>
    </sheetView>
  </sheetViews>
  <sheetFormatPr baseColWidth="8" defaultRowHeight="17"/>
  <cols>
    <col width="6" customWidth="1" style="23" min="1" max="1"/>
    <col width="26" customWidth="1" style="23" min="2" max="2"/>
    <col width="11" customWidth="1" style="23" min="3" max="3"/>
    <col width="46" customWidth="1" style="23" min="4" max="4"/>
    <col width="8" customWidth="1" style="23" min="5" max="5"/>
    <col width="9" customWidth="1" style="23" min="6" max="6"/>
    <col width="8" customWidth="1" style="23" min="7" max="7"/>
    <col width="78" customWidth="1" style="23" min="8" max="8"/>
    <col width="2" customWidth="1" style="23" min="9" max="9"/>
    <col width="12" customWidth="1" style="23" min="10" max="10"/>
    <col width="8" customWidth="1" style="23" min="11" max="15"/>
  </cols>
  <sheetData>
    <row r="1" ht="26" customHeight="1" s="23">
      <c r="A1" s="7" t="inlineStr">
        <is>
          <t>번호</t>
        </is>
      </c>
      <c r="B1" s="7" t="inlineStr">
        <is>
          <t>[내용영역]</t>
        </is>
      </c>
      <c r="C1" s="7" t="inlineStr">
        <is>
          <t>[발문 유형]</t>
        </is>
      </c>
      <c r="D1" s="7" t="inlineStr">
        <is>
          <t>[문항 유형]</t>
        </is>
      </c>
      <c r="E1" s="7" t="inlineStr">
        <is>
          <t>[점수]</t>
        </is>
      </c>
      <c r="F1" s="7" t="inlineStr">
        <is>
          <t>[난이도]</t>
        </is>
      </c>
      <c r="G1" s="7" t="inlineStr">
        <is>
          <t>[정답]</t>
        </is>
      </c>
      <c r="H1" s="7" t="inlineStr">
        <is>
          <t>추가 프롬프트 (자동 완성)</t>
        </is>
      </c>
      <c r="J1" s="24" t="inlineStr">
        <is>
          <t>난이도 분포</t>
        </is>
      </c>
    </row>
    <row r="2" ht="58" customHeight="1" s="23">
      <c r="A2" s="9" t="n">
        <v>1</v>
      </c>
      <c r="B2" s="10" t="inlineStr">
        <is>
          <t>경제 성장으로 달라진 생활 모습</t>
        </is>
      </c>
      <c r="C2" s="10" t="inlineStr">
        <is>
          <t>긍정형</t>
        </is>
      </c>
      <c r="D2" s="10" t="inlineStr">
        <is>
          <t>메신저 대화형 (Chat/Messenger): 카카오톡 같은 모바일 메신저 창에서 친구들이나 가족이 대화하는 화면을 묘사하는 형태</t>
        </is>
      </c>
      <c r="E2" s="10" t="n">
        <v>4</v>
      </c>
      <c r="F2" s="10" t="inlineStr">
        <is>
          <t>중</t>
        </is>
      </c>
      <c r="G2" s="10" t="inlineStr">
        <is>
          <t>③</t>
        </is>
      </c>
      <c r="H2" s="10">
        <f>$B$1&amp;"은 "&amp;B2&amp;"에 관한 것, "&amp;$C$1&amp;"은 "&amp;C2&amp;", "&amp;$D$1&amp;"은 "&amp;"'"&amp;D2&amp;"'를 적용하여 "&amp;$F$1&amp;" "&amp;F2&amp;" 수준의 문제를 만들어줘. "&amp;$G$1&amp;"은 "&amp;G2&amp;"번이 되도록 구성해줘. 발문 맨 끝에 소괄호로 "&amp;E2&amp;"점을 표기해줘."</f>
        <v/>
      </c>
      <c r="J2" s="11" t="inlineStr">
        <is>
          <t>상</t>
        </is>
      </c>
      <c r="K2" s="12">
        <f>COUNTIF($F$2:$F$16,"상")</f>
        <v/>
      </c>
    </row>
    <row r="3" ht="58" customHeight="1" s="23">
      <c r="A3" s="9" t="n">
        <v>2</v>
      </c>
      <c r="B3" s="10" t="inlineStr">
        <is>
          <t>국내 총생산의 의미</t>
        </is>
      </c>
      <c r="C3" s="10" t="inlineStr">
        <is>
          <t>일반형</t>
        </is>
      </c>
      <c r="D3" s="10" t="inlineStr">
        <is>
          <t>개념 설명형 문제</t>
        </is>
      </c>
      <c r="E3" s="10" t="n">
        <v>3.3</v>
      </c>
      <c r="F3" s="10" t="inlineStr">
        <is>
          <t>하</t>
        </is>
      </c>
      <c r="G3" s="10" t="inlineStr">
        <is>
          <t>②</t>
        </is>
      </c>
      <c r="H3" s="10">
        <f>$B$1&amp;"은 "&amp;B3&amp;"에 관한 것, "&amp;$C$1&amp;"은 "&amp;C3&amp;", "&amp;$D$1&amp;"은 "&amp;"'"&amp;D3&amp;"'를 적용하여 "&amp;$F$1&amp;" "&amp;F3&amp;" 수준의 문제를 만들어줘. "&amp;$G$1&amp;"은 "&amp;G3&amp;"번이 되도록 구성해줘. 발문 맨 끝에 소괄호로 "&amp;E3&amp;"점을 표기해줘."</f>
        <v/>
      </c>
      <c r="J3" s="11" t="inlineStr">
        <is>
          <t>중</t>
        </is>
      </c>
      <c r="K3" s="12">
        <f>COUNTIF($F$2:$F$16,"중")</f>
        <v/>
      </c>
    </row>
    <row r="4" ht="58" customHeight="1" s="23">
      <c r="A4" s="9" t="n">
        <v>3</v>
      </c>
      <c r="B4" s="10" t="inlineStr">
        <is>
          <t>국내 총생산의 한계</t>
        </is>
      </c>
      <c r="C4" s="10" t="inlineStr">
        <is>
          <t>일반형</t>
        </is>
      </c>
      <c r="D4" s="10" t="inlineStr">
        <is>
          <t>&lt;보기&gt; 나열형: 글상자 안에 ㄱ, ㄴ, ㄷ, ㄹ 4개의 명제를 나열하고 맞는 것끼리 짝지은 것을 고르는 형태</t>
        </is>
      </c>
      <c r="E4" s="10" t="n">
        <v>4</v>
      </c>
      <c r="F4" s="10" t="inlineStr">
        <is>
          <t>중</t>
        </is>
      </c>
      <c r="G4" s="10" t="inlineStr">
        <is>
          <t>①</t>
        </is>
      </c>
      <c r="H4" s="10">
        <f>$B$1&amp;"은 "&amp;B4&amp;"에 관한 것, "&amp;$C$1&amp;"은 "&amp;C4&amp;", "&amp;$D$1&amp;"은 "&amp;"'"&amp;D4&amp;"'를 적용하여 "&amp;$F$1&amp;" "&amp;F4&amp;" 수준의 문제를 만들어줘. "&amp;$G$1&amp;"은 "&amp;G4&amp;"번이 되도록 구성해줘. 발문 맨 끝에 소괄호로 "&amp;E4&amp;"점을 표기해줘."</f>
        <v/>
      </c>
      <c r="J4" s="11" t="inlineStr">
        <is>
          <t>하</t>
        </is>
      </c>
      <c r="K4" s="12">
        <f>COUNTIF($F$2:$F$16,"하")</f>
        <v/>
      </c>
    </row>
    <row r="5" ht="58" customHeight="1" s="23">
      <c r="A5" s="9" t="n">
        <v>4</v>
      </c>
      <c r="B5" s="10" t="inlineStr">
        <is>
          <t>물가 상승이 생활에 미치는 영향</t>
        </is>
      </c>
      <c r="C5" s="10" t="inlineStr">
        <is>
          <t>부정형</t>
        </is>
      </c>
      <c r="D5" s="10" t="inlineStr">
        <is>
          <t>사례/스토리 제시형 (Case Study): 일상생활에서 벌어지는 구체적인 사건이나 갈등 상황을 짧은 이야기로 제시하는 형태</t>
        </is>
      </c>
      <c r="E5" s="10" t="n">
        <v>4</v>
      </c>
      <c r="F5" s="10" t="inlineStr">
        <is>
          <t>중</t>
        </is>
      </c>
      <c r="G5" s="10" t="inlineStr">
        <is>
          <t>④</t>
        </is>
      </c>
      <c r="H5" s="10">
        <f>$B$1&amp;"은 "&amp;B5&amp;"에 관한 것, "&amp;$C$1&amp;"은 "&amp;C5&amp;", "&amp;$D$1&amp;"은 "&amp;"'"&amp;D5&amp;"'를 적용하여 "&amp;$F$1&amp;" "&amp;F5&amp;" 수준의 문제를 만들어줘. "&amp;$G$1&amp;"은 "&amp;G5&amp;"번이 되도록 구성해줘. 발문 맨 끝에 소괄호로 "&amp;E5&amp;"점을 표기해줘."</f>
        <v/>
      </c>
      <c r="J5" s="11" t="inlineStr">
        <is>
          <t>합계</t>
        </is>
      </c>
      <c r="K5" s="12">
        <f>SUM(K2:K4)</f>
        <v/>
      </c>
    </row>
    <row r="6" ht="58" customHeight="1" s="23">
      <c r="A6" s="9" t="n">
        <v>5</v>
      </c>
      <c r="B6" s="10" t="inlineStr">
        <is>
          <t>물가 지수 120의 의미</t>
        </is>
      </c>
      <c r="C6" s="10" t="inlineStr">
        <is>
          <t>일반형</t>
        </is>
      </c>
      <c r="D6" s="10" t="inlineStr">
        <is>
          <t>개념 설명형 문제</t>
        </is>
      </c>
      <c r="E6" s="10" t="n">
        <v>3.3</v>
      </c>
      <c r="F6" s="10" t="inlineStr">
        <is>
          <t>하</t>
        </is>
      </c>
      <c r="G6" s="10" t="inlineStr">
        <is>
          <t>⑤</t>
        </is>
      </c>
      <c r="H6" s="10">
        <f>$B$1&amp;"은 "&amp;B6&amp;"에 관한 것, "&amp;$C$1&amp;"은 "&amp;C6&amp;", "&amp;$D$1&amp;"은 "&amp;"'"&amp;D6&amp;"'를 적용하여 "&amp;$F$1&amp;" "&amp;F6&amp;" 수준의 문제를 만들어줘. "&amp;$G$1&amp;"은 "&amp;G6&amp;"번이 되도록 구성해줘. 발문 맨 끝에 소괄호로 "&amp;E6&amp;"점을 표기해줘."</f>
        <v/>
      </c>
    </row>
    <row r="7" ht="58" customHeight="1" s="23">
      <c r="A7" s="9" t="n">
        <v>6</v>
      </c>
      <c r="B7" s="10" t="inlineStr">
        <is>
          <t>물가 상승으로 불리해지는 사람</t>
        </is>
      </c>
      <c r="C7" s="10" t="inlineStr">
        <is>
          <t>일반형</t>
        </is>
      </c>
      <c r="D7" s="10" t="inlineStr">
        <is>
          <t>&lt;보기&gt; 나열형: 글상자 안에 ㄱ, ㄴ, ㄷ, ㄹ 4개의 명제를 나열하고 맞는 것끼리 짝지은 것을 고르는 형태</t>
        </is>
      </c>
      <c r="E7" s="10" t="n">
        <v>4</v>
      </c>
      <c r="F7" s="10" t="inlineStr">
        <is>
          <t>중</t>
        </is>
      </c>
      <c r="G7" s="10" t="inlineStr">
        <is>
          <t>④</t>
        </is>
      </c>
      <c r="H7" s="10">
        <f>$B$1&amp;"은 "&amp;B7&amp;"에 관한 것, "&amp;$C$1&amp;"은 "&amp;C7&amp;", "&amp;$D$1&amp;"은 "&amp;"'"&amp;D7&amp;"'를 적용하여 "&amp;$F$1&amp;" "&amp;F7&amp;" 수준의 문제를 만들어줘. "&amp;$G$1&amp;"은 "&amp;G7&amp;"번이 되도록 구성해줘. 발문 맨 끝에 소괄호로 "&amp;E7&amp;"점을 표기해줘."</f>
        <v/>
      </c>
      <c r="J7" s="24" t="inlineStr">
        <is>
          <t>정답 번호 분포 (쏠림 확인)</t>
        </is>
      </c>
    </row>
    <row r="8" ht="58" customHeight="1" s="23">
      <c r="A8" s="9" t="n">
        <v>7</v>
      </c>
      <c r="B8" s="10" t="inlineStr">
        <is>
          <t>물가 안정을 위한 정부의 대책</t>
        </is>
      </c>
      <c r="C8" s="10" t="inlineStr">
        <is>
          <t>일반형</t>
        </is>
      </c>
      <c r="D8" s="10" t="inlineStr">
        <is>
          <t>대화/토론형 (Dialogue/Debate): 갑, 을, 병(또는 교사와 학생)이 특정 주제에 대해 의견을 나누는 형태</t>
        </is>
      </c>
      <c r="E8" s="10" t="n">
        <v>4.3</v>
      </c>
      <c r="F8" s="10" t="inlineStr">
        <is>
          <t>상</t>
        </is>
      </c>
      <c r="G8" s="10" t="inlineStr">
        <is>
          <t>②</t>
        </is>
      </c>
      <c r="H8" s="10">
        <f>$B$1&amp;"은 "&amp;B8&amp;"에 관한 것, "&amp;$C$1&amp;"은 "&amp;C8&amp;", "&amp;$D$1&amp;"은 "&amp;"'"&amp;D8&amp;"'를 적용하여 "&amp;$F$1&amp;" "&amp;F8&amp;" 수준의 문제를 만들어줘. "&amp;$G$1&amp;"은 "&amp;G8&amp;"번이 되도록 구성해줘. 발문 맨 끝에 소괄호로 "&amp;E8&amp;"점을 표기해줘."</f>
        <v/>
      </c>
      <c r="J8" s="13" t="inlineStr">
        <is>
          <t>①</t>
        </is>
      </c>
      <c r="K8" s="13" t="inlineStr">
        <is>
          <t>②</t>
        </is>
      </c>
      <c r="L8" s="13" t="inlineStr">
        <is>
          <t>③</t>
        </is>
      </c>
      <c r="M8" s="13" t="inlineStr">
        <is>
          <t>④</t>
        </is>
      </c>
      <c r="N8" s="13" t="inlineStr">
        <is>
          <t>⑤</t>
        </is>
      </c>
    </row>
    <row r="9" ht="58" customHeight="1" s="23">
      <c r="A9" s="9" t="n">
        <v>8</v>
      </c>
      <c r="B9" s="10" t="inlineStr">
        <is>
          <t>실업의 종류와 사례</t>
        </is>
      </c>
      <c r="C9" s="10" t="inlineStr">
        <is>
          <t>긍정형</t>
        </is>
      </c>
      <c r="D9" s="10" t="inlineStr">
        <is>
          <t>사례/스토리 제시형 (Case Study): 일상생활에서 벌어지는 구체적인 사건이나 갈등 상황을 짧은 이야기로 제시하는 형태</t>
        </is>
      </c>
      <c r="E9" s="10" t="n">
        <v>4</v>
      </c>
      <c r="F9" s="10" t="inlineStr">
        <is>
          <t>중</t>
        </is>
      </c>
      <c r="G9" s="10" t="inlineStr">
        <is>
          <t>③</t>
        </is>
      </c>
      <c r="H9" s="10">
        <f>$B$1&amp;"은 "&amp;B9&amp;"에 관한 것, "&amp;$C$1&amp;"은 "&amp;C9&amp;", "&amp;$D$1&amp;"은 "&amp;"'"&amp;D9&amp;"'를 적용하여 "&amp;$F$1&amp;" "&amp;F9&amp;" 수준의 문제를 만들어줘. "&amp;$G$1&amp;"은 "&amp;G9&amp;"번이 되도록 구성해줘. 발문 맨 끝에 소괄호로 "&amp;E9&amp;"점을 표기해줘."</f>
        <v/>
      </c>
      <c r="J9" s="9">
        <f>COUNTIF($G$2:$G$16,"①")</f>
        <v/>
      </c>
      <c r="K9" s="9">
        <f>COUNTIF($G$2:$G$16,"②")</f>
        <v/>
      </c>
      <c r="L9" s="9">
        <f>COUNTIF($G$2:$G$16,"③")</f>
        <v/>
      </c>
      <c r="M9" s="9">
        <f>COUNTIF($G$2:$G$16,"④")</f>
        <v/>
      </c>
      <c r="N9" s="9">
        <f>COUNTIF($G$2:$G$16,"⑤")</f>
        <v/>
      </c>
    </row>
    <row r="10" ht="58" customHeight="1" s="23">
      <c r="A10" s="9" t="n">
        <v>9</v>
      </c>
      <c r="B10" s="10" t="inlineStr">
        <is>
          <t>실업률 계산과 해석</t>
        </is>
      </c>
      <c r="C10" s="10" t="inlineStr">
        <is>
          <t>일반형</t>
        </is>
      </c>
      <c r="D10" s="10" t="inlineStr">
        <is>
          <t>통계 표/그래프형 (Table/Chart): 그래프를 제시하고 수치를 해석하는 형태</t>
        </is>
      </c>
      <c r="E10" s="10" t="n">
        <v>4.3</v>
      </c>
      <c r="F10" s="10" t="inlineStr">
        <is>
          <t>상</t>
        </is>
      </c>
      <c r="G10" s="10" t="inlineStr">
        <is>
          <t>①</t>
        </is>
      </c>
      <c r="H10" s="10">
        <f>$B$1&amp;"은 "&amp;B10&amp;"에 관한 것, "&amp;$C$1&amp;"은 "&amp;C10&amp;", "&amp;$D$1&amp;"은 "&amp;"'"&amp;D10&amp;"'를 적용하여 "&amp;$F$1&amp;" "&amp;F10&amp;" 수준의 문제를 만들어줘. "&amp;$G$1&amp;"은 "&amp;G10&amp;"번이 되도록 구성해줘. 발문 맨 끝에 소괄호로 "&amp;E10&amp;"점을 표기해줘."</f>
        <v/>
      </c>
    </row>
    <row r="11" ht="58" customHeight="1" s="23">
      <c r="A11" s="9" t="n">
        <v>10</v>
      </c>
      <c r="B11" s="10" t="inlineStr">
        <is>
          <t>고용 안정을 위한 노력</t>
        </is>
      </c>
      <c r="C11" s="10" t="inlineStr">
        <is>
          <t>일반형</t>
        </is>
      </c>
      <c r="D11" s="10" t="inlineStr">
        <is>
          <t>신문 기사/뉴스 보도형 (News Report): 실제 있을 법한 사회적 이슈나 법적 사건을 객관적인 기사 톤으로 제시하는 형태</t>
        </is>
      </c>
      <c r="E11" s="10" t="n">
        <v>3.3</v>
      </c>
      <c r="F11" s="10" t="inlineStr">
        <is>
          <t>하</t>
        </is>
      </c>
      <c r="G11" s="10" t="inlineStr">
        <is>
          <t>⑤</t>
        </is>
      </c>
      <c r="H11" s="10">
        <f>$B$1&amp;"은 "&amp;B11&amp;"에 관한 것, "&amp;$C$1&amp;"은 "&amp;C11&amp;", "&amp;$D$1&amp;"은 "&amp;"'"&amp;D11&amp;"'를 적용하여 "&amp;$F$1&amp;" "&amp;F11&amp;" 수준의 문제를 만들어줘. "&amp;$G$1&amp;"은 "&amp;G11&amp;"번이 되도록 구성해줘. 발문 맨 끝에 소괄호로 "&amp;E11&amp;"점을 표기해줘."</f>
        <v/>
      </c>
      <c r="J11" s="24" t="inlineStr">
        <is>
          <t>배점 합계</t>
        </is>
      </c>
      <c r="K11" s="12">
        <f>SUM(E2:E16)</f>
        <v/>
      </c>
    </row>
    <row r="12" ht="58" customHeight="1" s="23">
      <c r="A12" s="9" t="n">
        <v>11</v>
      </c>
      <c r="B12" s="10" t="inlineStr">
        <is>
          <t>국제 거래가 필요한 까닭</t>
        </is>
      </c>
      <c r="C12" s="10" t="inlineStr">
        <is>
          <t>일반형</t>
        </is>
      </c>
      <c r="D12" s="10" t="inlineStr">
        <is>
          <t>가상 인터뷰/강연형 (Interview/Speech): 전문가, 역사적 인물, 가상의 정치인 등과의 인터뷰나 연설문 발췌본을 제시하는 형태</t>
        </is>
      </c>
      <c r="E12" s="10" t="n">
        <v>3.3</v>
      </c>
      <c r="F12" s="10" t="inlineStr">
        <is>
          <t>하</t>
        </is>
      </c>
      <c r="G12" s="10" t="inlineStr">
        <is>
          <t>②</t>
        </is>
      </c>
      <c r="H12" s="10">
        <f>$B$1&amp;"은 "&amp;B12&amp;"에 관한 것, "&amp;$C$1&amp;"은 "&amp;C12&amp;", "&amp;$D$1&amp;"은 "&amp;"'"&amp;D12&amp;"'를 적용하여 "&amp;$F$1&amp;" "&amp;F12&amp;" 수준의 문제를 만들어줘. "&amp;$G$1&amp;"은 "&amp;G12&amp;"번이 되도록 구성해줘. 발문 맨 끝에 소괄호로 "&amp;E12&amp;"점을 표기해줘."</f>
        <v/>
      </c>
      <c r="J12" s="14" t="inlineStr">
        <is>
          <t>점검</t>
        </is>
      </c>
      <c r="K12" s="22">
        <f>IF(MAX(J9:N9)-MIN(J9:N9)&gt;2,"정답 번호가 한쪽으로 쏠렸습니다","정답 분포 양호")</f>
        <v/>
      </c>
    </row>
    <row r="13" ht="58" customHeight="1" s="23">
      <c r="A13" s="9" t="n">
        <v>12</v>
      </c>
      <c r="B13" s="10" t="inlineStr">
        <is>
          <t>환율 변동이 미치는 영향</t>
        </is>
      </c>
      <c r="C13" s="10" t="inlineStr">
        <is>
          <t>부정형</t>
        </is>
      </c>
      <c r="D13" s="10" t="inlineStr">
        <is>
          <t>통계 표/그래프형 (Table/Chart): 그래프를 제시하고 수치를 해석하는 형태</t>
        </is>
      </c>
      <c r="E13" s="10" t="n">
        <v>4.3</v>
      </c>
      <c r="F13" s="10" t="inlineStr">
        <is>
          <t>상</t>
        </is>
      </c>
      <c r="G13" s="10" t="inlineStr">
        <is>
          <t>④</t>
        </is>
      </c>
      <c r="H13" s="10">
        <f>$B$1&amp;"은 "&amp;B13&amp;"에 관한 것, "&amp;$C$1&amp;"은 "&amp;C13&amp;", "&amp;$D$1&amp;"은 "&amp;"'"&amp;D13&amp;"'를 적용하여 "&amp;$F$1&amp;" "&amp;F13&amp;" 수준의 문제를 만들어줘. "&amp;$G$1&amp;"은 "&amp;G13&amp;"번이 되도록 구성해줘. 발문 맨 끝에 소괄호로 "&amp;E13&amp;"점을 표기해줘."</f>
        <v/>
      </c>
    </row>
    <row r="14" ht="58" customHeight="1" s="23">
      <c r="A14" s="9" t="n">
        <v>13</v>
      </c>
      <c r="B14" s="10" t="inlineStr">
        <is>
          <t>우리나라 무역 구조의 특징</t>
        </is>
      </c>
      <c r="C14" s="10" t="inlineStr">
        <is>
          <t>일반형</t>
        </is>
      </c>
      <c r="D14" s="10" t="inlineStr">
        <is>
          <t>지도 분석형 (Map): 세계 지도나 국가 지도를 제시하고 A, B, C 지역의 특징을 묻는 형태</t>
        </is>
      </c>
      <c r="E14" s="10" t="n">
        <v>4</v>
      </c>
      <c r="F14" s="10" t="inlineStr">
        <is>
          <t>중</t>
        </is>
      </c>
      <c r="G14" s="10" t="inlineStr">
        <is>
          <t>③</t>
        </is>
      </c>
      <c r="H14" s="10">
        <f>$B$1&amp;"은 "&amp;B14&amp;"에 관한 것, "&amp;$C$1&amp;"은 "&amp;C14&amp;", "&amp;$D$1&amp;"은 "&amp;"'"&amp;D14&amp;"'를 적용하여 "&amp;$F$1&amp;" "&amp;F14&amp;" 수준의 문제를 만들어줘. "&amp;$G$1&amp;"은 "&amp;G14&amp;"번이 되도록 구성해줘. 발문 맨 끝에 소괄호로 "&amp;E14&amp;"점을 표기해줘."</f>
        <v/>
      </c>
      <c r="J14" s="15" t="inlineStr">
        <is>
          <t>① 위 표의 B~G 칸만 고치면 H열 문장이 저절로 다시 만들어집니다.</t>
        </is>
      </c>
    </row>
    <row r="15" ht="58" customHeight="1" s="23">
      <c r="A15" s="9" t="n">
        <v>14</v>
      </c>
      <c r="B15" s="10" t="inlineStr">
        <is>
          <t>세계화에 따른 경제 생활 변화</t>
        </is>
      </c>
      <c r="C15" s="10" t="inlineStr">
        <is>
          <t>긍정형</t>
        </is>
      </c>
      <c r="D15" s="10" t="inlineStr">
        <is>
          <t>온라인 커뮤니티/Q&amp;A 게시판형 (Forum): 지식인이나 학교 게시판에 고민이나 질문을 올리고, 그에 대한 답변이 달린 형태</t>
        </is>
      </c>
      <c r="E15" s="10" t="n">
        <v>4</v>
      </c>
      <c r="F15" s="10" t="inlineStr">
        <is>
          <t>중</t>
        </is>
      </c>
      <c r="G15" s="10" t="inlineStr">
        <is>
          <t>⑤</t>
        </is>
      </c>
      <c r="H15" s="10">
        <f>$B$1&amp;"은 "&amp;B15&amp;"에 관한 것, "&amp;$C$1&amp;"은 "&amp;C15&amp;", "&amp;$D$1&amp;"은 "&amp;"'"&amp;D15&amp;"'를 적용하여 "&amp;$F$1&amp;" "&amp;F15&amp;" 수준의 문제를 만들어줘. "&amp;$G$1&amp;"은 "&amp;G15&amp;"번이 되도록 구성해줘. 발문 맨 끝에 소괄호로 "&amp;E15&amp;"점을 표기해줘."</f>
        <v/>
      </c>
      <c r="J15" s="15" t="inlineStr">
        <is>
          <t>② H열은 손으로 고치지 마세요. 수식이 지워집니다.</t>
        </is>
      </c>
    </row>
    <row r="16" ht="58" customHeight="1" s="23">
      <c r="A16" s="9" t="n">
        <v>15</v>
      </c>
      <c r="B16" s="10" t="inlineStr">
        <is>
          <t>자유 무역과 보호 무역</t>
        </is>
      </c>
      <c r="C16" s="10" t="inlineStr">
        <is>
          <t>일반형</t>
        </is>
      </c>
      <c r="D16" s="10" t="inlineStr">
        <is>
          <t>모식도/개념도형 (Diagram): 화살표와 박스로 나타낸 다이어그램 형태</t>
        </is>
      </c>
      <c r="E16" s="10" t="n">
        <v>4</v>
      </c>
      <c r="F16" s="10" t="inlineStr">
        <is>
          <t>중</t>
        </is>
      </c>
      <c r="G16" s="10" t="inlineStr">
        <is>
          <t>①</t>
        </is>
      </c>
      <c r="H16" s="10">
        <f>$B$1&amp;"은 "&amp;B16&amp;"에 관한 것, "&amp;$C$1&amp;"은 "&amp;C16&amp;", "&amp;$D$1&amp;"은 "&amp;"'"&amp;D16&amp;"'를 적용하여 "&amp;$F$1&amp;" "&amp;F16&amp;" 수준의 문제를 만들어줘. "&amp;$G$1&amp;"은 "&amp;G16&amp;"번이 되도록 구성해줘. 발문 맨 끝에 소괄호로 "&amp;E16&amp;"점을 표기해줘."</f>
        <v/>
      </c>
      <c r="J16" s="15" t="inlineStr">
        <is>
          <t>③ 배점 합계는 이 15문항(객관식)만의 합입니다. 서술형 배점은 따로 더하세요.</t>
        </is>
      </c>
    </row>
  </sheetData>
  <mergeCells count="2">
    <mergeCell ref="K12:O12"/>
    <mergeCell ref="J7:O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110" customWidth="1" style="23" min="1" max="1"/>
    <col width="12" customWidth="1" style="23" min="2" max="2"/>
  </cols>
  <sheetData>
    <row r="1" ht="26" customHeight="1" s="23">
      <c r="A1" s="16" t="inlineStr">
        <is>
          <t>문항 형태 설명  —  이 칸을 복사해 [1_추가프롬프트 만들기] D열에 붙여 넣으세요</t>
        </is>
      </c>
      <c r="B1" s="16" t="inlineStr">
        <is>
          <t>정답 형태</t>
        </is>
      </c>
    </row>
    <row r="2" ht="32" customHeight="1" s="23">
      <c r="A2" s="10" t="inlineStr">
        <is>
          <t>대화/토론형 (Dialogue/Debate): 갑, 을, 병(또는 교사와 학생)이 특정 주제에 대해 의견을 나누는 형태</t>
        </is>
      </c>
      <c r="B2" s="9" t="inlineStr">
        <is>
          <t>①</t>
        </is>
      </c>
    </row>
    <row r="3" ht="32" customHeight="1" s="23">
      <c r="A3" s="10" t="inlineStr">
        <is>
          <t>일기/기행문/편지형 (Diary/Journal): 특정 지역을 여행하거나 특정 사건을 겪은 후 작성한 개인의 기록 형태</t>
        </is>
      </c>
      <c r="B3" s="9" t="inlineStr">
        <is>
          <t>②</t>
        </is>
      </c>
    </row>
    <row r="4" ht="32" customHeight="1" s="23">
      <c r="A4" s="10" t="inlineStr">
        <is>
          <t>신문 기사/뉴스 보도형 (News Report): 실제 있을 법한 사회적 이슈나 법적 사건을 객관적인 기사 톤으로 제시하는 형태</t>
        </is>
      </c>
      <c r="B4" s="9" t="inlineStr">
        <is>
          <t>③</t>
        </is>
      </c>
    </row>
    <row r="5" ht="32" customHeight="1" s="23">
      <c r="A5" s="10" t="inlineStr">
        <is>
          <t>사례/스토리 제시형 (Case Study): 일상생활에서 벌어지는 구체적인 사건이나 갈등 상황을 짧은 이야기로 제시하는 형태</t>
        </is>
      </c>
      <c r="B5" s="9" t="inlineStr">
        <is>
          <t>④</t>
        </is>
      </c>
    </row>
    <row r="6" ht="32" customHeight="1" s="23">
      <c r="A6" s="10" t="inlineStr">
        <is>
          <t>가상 인터뷰/강연형 (Interview/Speech): 전문가, 역사적 인물, 가상의 정치인 등과의 인터뷰나 연설문 발췌본을 제시하는 형태</t>
        </is>
      </c>
      <c r="B6" s="9" t="inlineStr">
        <is>
          <t>⑤</t>
        </is>
      </c>
    </row>
    <row r="7" ht="32" customHeight="1" s="23">
      <c r="A7" s="10" t="inlineStr">
        <is>
          <t>SNS 게시물/댓글형 (Social Media): 인스타그램, 페이스북 등의 게시물과 그 아래 달린 사람들의 찬반 댓글을 분석하는 형태</t>
        </is>
      </c>
      <c r="B7" s="12" t="n"/>
    </row>
    <row r="8" ht="32" customHeight="1" s="23">
      <c r="A8" s="10" t="inlineStr">
        <is>
          <t>메신저 대화형 (Chat/Messenger): 카카오톡 같은 모바일 메신저 창에서 친구들이나 가족이 대화하는 화면을 묘사하는 형태</t>
        </is>
      </c>
      <c r="B8" s="12" t="n"/>
    </row>
    <row r="9" ht="32" customHeight="1" s="23">
      <c r="A9" s="10" t="inlineStr">
        <is>
          <t>온라인 커뮤니티/Q&amp;A 게시판형 (Forum): 지식인이나 학교 게시판에 고민이나 질문을 올리고, 그에 대한 답변이 달린 형태</t>
        </is>
      </c>
      <c r="B9" s="12" t="n"/>
    </row>
    <row r="10" ht="32" customHeight="1" s="23">
      <c r="A10" s="10" t="inlineStr">
        <is>
          <t>시각 자료를 사용하며, 마크다운 표나 이미지 생성 프롬프트가 필요한 형태</t>
        </is>
      </c>
      <c r="B10" s="12" t="n"/>
    </row>
    <row r="11" ht="32" customHeight="1" s="23">
      <c r="A11" s="10" t="inlineStr">
        <is>
          <t>지도 분석형 (Map): 세계 지도나 국가 지도를 제시하고 A, B, C 지역의 특징을 묻는 형태</t>
        </is>
      </c>
      <c r="B11" s="12" t="n"/>
    </row>
    <row r="12" ht="32" customHeight="1" s="23">
      <c r="A12" s="10" t="inlineStr">
        <is>
          <t>통계 표/그래프형 (Table/Chart): 그래프를 제시하고 수치를 해석하는 형태</t>
        </is>
      </c>
      <c r="B12" s="12" t="n"/>
    </row>
    <row r="13" ht="32" customHeight="1" s="23">
      <c r="A13" s="10" t="inlineStr">
        <is>
          <t>모식도/개념도형 (Diagram): 화살표와 박스로 나타낸 다이어그램 형태</t>
        </is>
      </c>
      <c r="B13" s="12" t="n"/>
    </row>
    <row r="14" ht="32" customHeight="1" s="23">
      <c r="A14" s="10" t="inlineStr">
        <is>
          <t>만화/삽화형 (Cartoon): 풍자 만화나 두 컷짜리 상황 만화를 글로 묘사하여 제시하는 형태</t>
        </is>
      </c>
      <c r="B14" s="12" t="n"/>
    </row>
    <row r="15" ht="32" customHeight="1" s="23">
      <c r="A15" s="10" t="inlineStr">
        <is>
          <t>&lt;보기&gt; 나열형: 글상자 안에 ㄱ, ㄴ, ㄷ, ㄹ 4개의 명제를 나열하고 맞는 것끼리 짝지은 것을 고르는 형태</t>
        </is>
      </c>
      <c r="B15" s="12" t="n"/>
    </row>
    <row r="16" ht="32" customHeight="1" s="23">
      <c r="A16" s="10" t="inlineStr">
        <is>
          <t>빈칸 추론형 (A, B / 가, 나): 긴 지문이나 자료의 핵심 개념어 자리를 뚫어놓고 (가), (나)에 들어갈 알맞은 말을 묻는 형태</t>
        </is>
      </c>
      <c r="B16" s="12" t="n"/>
    </row>
    <row r="17" ht="32" customHeight="1" s="23">
      <c r="A17" s="10" t="inlineStr">
        <is>
          <t>마인드맵/마름모 분류형: 예/아니오 질문을 따라가며 최종 도착지(A~D)에 해당하는 개념을 찾는 알고리즘 형태</t>
        </is>
      </c>
      <c r="B17" s="12" t="n"/>
    </row>
    <row r="18" ht="32" customHeight="1" s="23">
      <c r="A18" s="10" t="inlineStr">
        <is>
          <t>부정형 발문 문제</t>
        </is>
      </c>
      <c r="B18" s="12" t="n"/>
    </row>
    <row r="19" ht="32" customHeight="1" s="23">
      <c r="A19" s="10" t="inlineStr">
        <is>
          <t>개념 설명형 문제</t>
        </is>
      </c>
      <c r="B19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F2" sqref="F2"/>
    </sheetView>
  </sheetViews>
  <sheetFormatPr baseColWidth="8" defaultRowHeight="17"/>
  <cols>
    <col width="6" customWidth="1" style="23" min="1" max="1"/>
    <col width="26" customWidth="1" style="23" min="2" max="2"/>
    <col width="40" customWidth="1" style="23" min="3" max="3"/>
    <col width="26" customWidth="1" style="23" min="4" max="5"/>
    <col width="62" customWidth="1" style="23" min="6" max="6"/>
    <col width="56" customWidth="1" style="23" min="7" max="7"/>
    <col width="44" customWidth="1" style="23" min="8" max="8"/>
    <col width="3" customWidth="1" style="23" min="9" max="9"/>
    <col width="66" customWidth="1" style="23" min="10" max="10"/>
  </cols>
  <sheetData>
    <row r="1" ht="26" customHeight="1" s="23">
      <c r="A1" s="7" t="inlineStr">
        <is>
          <t>번호</t>
        </is>
      </c>
      <c r="B1" s="7" t="inlineStr">
        <is>
          <t>주제</t>
        </is>
      </c>
      <c r="C1" s="7" t="inlineStr">
        <is>
          <t>교과 자료 경로 (PDF)</t>
        </is>
      </c>
      <c r="D1" s="7" t="inlineStr">
        <is>
          <t>참고 이미지 1</t>
        </is>
      </c>
      <c r="E1" s="7" t="inlineStr">
        <is>
          <t>참고 이미지 2</t>
        </is>
      </c>
      <c r="F1" s="7" t="inlineStr">
        <is>
          <t>추가 프롬프트 (1번 시트에서 자동으로 옵니다)</t>
        </is>
      </c>
      <c r="G1" s="7" t="inlineStr">
        <is>
          <t>문항 — 비워 두세요 (G열)</t>
        </is>
      </c>
      <c r="H1" s="7" t="inlineStr">
        <is>
          <t>그림 경로 — 비워 두세요 (H열)</t>
        </is>
      </c>
      <c r="J1" s="18" t="inlineStr">
        <is>
          <t>▼ 삽화용 공통 프롬프트 — [프롬프트 관리] 의 [문제 제작_문제로 이미지 만들기] 와 같은 내용입니다</t>
        </is>
      </c>
    </row>
    <row r="2" ht="100" customHeight="1" s="23">
      <c r="A2" s="9" t="n">
        <v>1</v>
      </c>
      <c r="B2" s="10" t="inlineStr">
        <is>
          <t>경제 성장으로 달라진 생활 모습</t>
        </is>
      </c>
      <c r="C2" s="10" t="n"/>
      <c r="D2" s="10" t="n"/>
      <c r="E2" s="10" t="n"/>
      <c r="F2" s="10">
        <f>'1_추가프롬프트 만들기'!H2</f>
        <v/>
      </c>
      <c r="G2" s="10" t="n"/>
      <c r="H2" s="10" t="n"/>
      <c r="J2" s="19" t="inlineStr">
        <is>
          <t>아래 두 가지 상황에 맞게 시험 출제용 흑백 라인 아트 스타일로 이미지를 만들어줘.
#1. 자료에 '## [그림 생성 프롬프트]'에 내용이 있는 경우, 이것을 반영해서 만들어줘.
#2. 자료에 '## [그림 생성 프롬프트]'에 내용이 없는 경우, 문제 작성에 필요하다고 생각되는 자료만 선별해서 이미지를 만들어줘.</t>
        </is>
      </c>
    </row>
    <row r="3" ht="50" customHeight="1" s="23">
      <c r="A3" s="9" t="n">
        <v>2</v>
      </c>
      <c r="B3" s="10" t="inlineStr">
        <is>
          <t>국내 총생산의 의미</t>
        </is>
      </c>
      <c r="C3" s="10" t="n"/>
      <c r="D3" s="10" t="n"/>
      <c r="E3" s="10" t="n"/>
      <c r="F3" s="10">
        <f>'1_추가프롬프트 만들기'!H3</f>
        <v/>
      </c>
      <c r="G3" s="10" t="n"/>
      <c r="H3" s="10" t="n"/>
    </row>
    <row r="4" ht="50" customHeight="1" s="23">
      <c r="A4" s="9" t="n">
        <v>3</v>
      </c>
      <c r="B4" s="10" t="inlineStr">
        <is>
          <t>국내 총생산의 한계</t>
        </is>
      </c>
      <c r="C4" s="10" t="n"/>
      <c r="D4" s="10" t="n"/>
      <c r="E4" s="10" t="n"/>
      <c r="F4" s="10">
        <f>'1_추가프롬프트 만들기'!H4</f>
        <v/>
      </c>
      <c r="G4" s="10" t="n"/>
      <c r="H4" s="10" t="n"/>
    </row>
    <row r="5" ht="50" customHeight="1" s="23">
      <c r="A5" s="9" t="n">
        <v>4</v>
      </c>
      <c r="B5" s="10" t="inlineStr">
        <is>
          <t>물가 상승이 생활에 미치는 영향</t>
        </is>
      </c>
      <c r="C5" s="10" t="n"/>
      <c r="D5" s="10" t="n"/>
      <c r="E5" s="10" t="n"/>
      <c r="F5" s="10">
        <f>'1_추가프롬프트 만들기'!H5</f>
        <v/>
      </c>
      <c r="G5" s="10" t="n"/>
      <c r="H5" s="10" t="n"/>
      <c r="J5" s="20" t="inlineStr">
        <is>
          <t>이 프롬프트는 이미 추가 기능에 들어 있습니다. 실행할 때 [프롬프트 관리 폼에서 선택] 을 고르고 [문제 제작_문제로 이미지 만들기] 를 누르면 됩니다. 여기 적어 둔 것은 내용을 눈으로 확인하시라고 옮겨 놓은 것입니다.</t>
        </is>
      </c>
    </row>
    <row r="6" ht="50" customHeight="1" s="23">
      <c r="A6" s="9" t="n">
        <v>5</v>
      </c>
      <c r="B6" s="10" t="inlineStr">
        <is>
          <t>물가 지수 120의 의미</t>
        </is>
      </c>
      <c r="C6" s="10" t="n"/>
      <c r="D6" s="10" t="n"/>
      <c r="E6" s="10" t="n"/>
      <c r="F6" s="10">
        <f>'1_추가프롬프트 만들기'!H6</f>
        <v/>
      </c>
      <c r="G6" s="10" t="n"/>
      <c r="H6" s="10" t="n"/>
    </row>
    <row r="7" ht="50" customHeight="1" s="23">
      <c r="A7" s="9" t="n">
        <v>6</v>
      </c>
      <c r="B7" s="10" t="inlineStr">
        <is>
          <t>물가 상승으로 불리해지는 사람</t>
        </is>
      </c>
      <c r="C7" s="10" t="n"/>
      <c r="D7" s="10" t="n"/>
      <c r="E7" s="10" t="n"/>
      <c r="F7" s="10">
        <f>'1_추가프롬프트 만들기'!H7</f>
        <v/>
      </c>
      <c r="G7" s="10" t="n"/>
      <c r="H7" s="10" t="n"/>
    </row>
    <row r="8" ht="50" customHeight="1" s="23">
      <c r="A8" s="9" t="n">
        <v>7</v>
      </c>
      <c r="B8" s="10" t="inlineStr">
        <is>
          <t>물가 안정을 위한 정부의 대책</t>
        </is>
      </c>
      <c r="C8" s="10" t="n"/>
      <c r="D8" s="10" t="n"/>
      <c r="E8" s="10" t="n"/>
      <c r="F8" s="10">
        <f>'1_추가프롬프트 만들기'!H8</f>
        <v/>
      </c>
      <c r="G8" s="10" t="n"/>
      <c r="H8" s="10" t="n"/>
    </row>
    <row r="9" ht="50" customHeight="1" s="23">
      <c r="A9" s="9" t="n">
        <v>8</v>
      </c>
      <c r="B9" s="10" t="inlineStr">
        <is>
          <t>실업의 종류와 사례</t>
        </is>
      </c>
      <c r="C9" s="10" t="n"/>
      <c r="D9" s="10" t="n"/>
      <c r="E9" s="10" t="n"/>
      <c r="F9" s="10">
        <f>'1_추가프롬프트 만들기'!H9</f>
        <v/>
      </c>
      <c r="G9" s="10" t="n"/>
      <c r="H9" s="10" t="n"/>
    </row>
    <row r="10" ht="50" customHeight="1" s="23">
      <c r="A10" s="9" t="n">
        <v>9</v>
      </c>
      <c r="B10" s="10" t="inlineStr">
        <is>
          <t>실업률 계산과 해석</t>
        </is>
      </c>
      <c r="C10" s="10" t="n"/>
      <c r="D10" s="10" t="n"/>
      <c r="E10" s="10" t="n"/>
      <c r="F10" s="10">
        <f>'1_추가프롬프트 만들기'!H10</f>
        <v/>
      </c>
      <c r="G10" s="10" t="n"/>
      <c r="H10" s="10" t="n"/>
    </row>
    <row r="11" ht="50" customHeight="1" s="23">
      <c r="A11" s="9" t="n">
        <v>10</v>
      </c>
      <c r="B11" s="10" t="inlineStr">
        <is>
          <t>고용 안정을 위한 노력</t>
        </is>
      </c>
      <c r="C11" s="10" t="n"/>
      <c r="D11" s="10" t="n"/>
      <c r="E11" s="10" t="n"/>
      <c r="F11" s="10">
        <f>'1_추가프롬프트 만들기'!H11</f>
        <v/>
      </c>
      <c r="G11" s="10" t="n"/>
      <c r="H11" s="10" t="n"/>
    </row>
    <row r="12" ht="50" customHeight="1" s="23">
      <c r="A12" s="9" t="n">
        <v>11</v>
      </c>
      <c r="B12" s="10" t="inlineStr">
        <is>
          <t>국제 거래가 필요한 까닭</t>
        </is>
      </c>
      <c r="C12" s="10" t="n"/>
      <c r="D12" s="10" t="n"/>
      <c r="E12" s="10" t="n"/>
      <c r="F12" s="10">
        <f>'1_추가프롬프트 만들기'!H12</f>
        <v/>
      </c>
      <c r="G12" s="10" t="n"/>
      <c r="H12" s="10" t="n"/>
    </row>
    <row r="13" ht="50" customHeight="1" s="23">
      <c r="A13" s="9" t="n">
        <v>12</v>
      </c>
      <c r="B13" s="10" t="inlineStr">
        <is>
          <t>환율 변동이 미치는 영향</t>
        </is>
      </c>
      <c r="C13" s="10" t="n"/>
      <c r="D13" s="10" t="n"/>
      <c r="E13" s="10" t="n"/>
      <c r="F13" s="10">
        <f>'1_추가프롬프트 만들기'!H13</f>
        <v/>
      </c>
      <c r="G13" s="10" t="n"/>
      <c r="H13" s="10" t="n"/>
    </row>
    <row r="14" ht="50" customHeight="1" s="23">
      <c r="A14" s="9" t="n">
        <v>13</v>
      </c>
      <c r="B14" s="10" t="inlineStr">
        <is>
          <t>우리나라 무역 구조의 특징</t>
        </is>
      </c>
      <c r="C14" s="10" t="n"/>
      <c r="D14" s="10" t="n"/>
      <c r="E14" s="10" t="n"/>
      <c r="F14" s="10">
        <f>'1_추가프롬프트 만들기'!H14</f>
        <v/>
      </c>
      <c r="G14" s="10" t="n"/>
      <c r="H14" s="10" t="n"/>
    </row>
    <row r="15" ht="50" customHeight="1" s="23">
      <c r="A15" s="9" t="n">
        <v>14</v>
      </c>
      <c r="B15" s="10" t="inlineStr">
        <is>
          <t>세계화에 따른 경제 생활 변화</t>
        </is>
      </c>
      <c r="C15" s="10" t="n"/>
      <c r="D15" s="10" t="n"/>
      <c r="E15" s="10" t="n"/>
      <c r="F15" s="10">
        <f>'1_추가프롬프트 만들기'!H15</f>
        <v/>
      </c>
      <c r="G15" s="10" t="n"/>
      <c r="H15" s="10" t="n"/>
    </row>
    <row r="16" ht="50" customHeight="1" s="23">
      <c r="A16" s="9" t="n">
        <v>15</v>
      </c>
      <c r="B16" s="10" t="inlineStr">
        <is>
          <t>자유 무역과 보호 무역</t>
        </is>
      </c>
      <c r="C16" s="10" t="n"/>
      <c r="D16" s="10" t="n"/>
      <c r="E16" s="10" t="n"/>
      <c r="F16" s="10">
        <f>'1_추가프롬프트 만들기'!H16</f>
        <v/>
      </c>
      <c r="G16" s="10" t="n"/>
      <c r="H16" s="10" t="n"/>
    </row>
    <row r="18" ht="46" customHeight="1" s="23">
      <c r="B18" s="25" t="inlineStr">
        <is>
          <t>C·D·E 칸은 비워 두어도 문항이 만들어집니다.  넣으려면 C:\ 로 시작하는 전체 경로를 적으세요 (예: C:\수업자료\2학년사회_4단원_교과서.pdf).  경로를 넣으면 그 교과서 내용을 근거로 문항을 만듭니다.  이 실습에서는 비워 둔 채로 진행해도 됩니다.</t>
        </is>
      </c>
    </row>
    <row r="19"/>
    <row r="20"/>
  </sheetData>
  <mergeCells count="1">
    <mergeCell ref="B18:G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55A11"/>
    <outlinePr summaryBelow="1" summaryRight="1"/>
    <pageSetUpPr/>
  </sheetPr>
  <dimension ref="B2:B40"/>
  <sheetViews>
    <sheetView showGridLines="0" topLeftCell="A22" workbookViewId="0">
      <selection activeCell="A1" sqref="A1"/>
    </sheetView>
  </sheetViews>
  <sheetFormatPr baseColWidth="8" defaultRowHeight="17"/>
  <cols>
    <col width="3" customWidth="1" style="23" min="1" max="1"/>
    <col width="112" customWidth="1" style="23" min="2" max="2"/>
  </cols>
  <sheetData>
    <row r="2" ht="28" customHeight="1" s="23">
      <c r="B2" s="17" t="inlineStr">
        <is>
          <t>만든 문항에서 필요한 부분만 뽑아 한글 파일로</t>
        </is>
      </c>
    </row>
    <row r="4" ht="24" customHeight="1" s="23">
      <c r="B4" s="3" t="inlineStr">
        <is>
          <t>왜 그냥 복사하면 안 되나요</t>
        </is>
      </c>
    </row>
    <row r="5" ht="34" customHeight="1" s="23">
      <c r="B5" s="2" t="inlineStr">
        <is>
          <t>[2_문항 만들기] G열에는 그림 프롬프트, 문항, 정답, 풀이가 모두 한 칸에 들어 있습니다. 학생에게 나눠 줄 시험지에는 문항 부분만 있어야 하고, 교사용 정답지에는 정답과 풀이만 있어야 합니다.</t>
        </is>
      </c>
    </row>
    <row r="6">
      <c r="B6" s="2" t="inlineStr">
        <is>
          <t>[한글 파일 만들기] 는 '기준 문구'를 정해 그 사이 내용만 뽑아 한글 파일로 만들어 줍니다.</t>
        </is>
      </c>
    </row>
    <row r="8" ht="24" customHeight="1" s="23">
      <c r="B8" s="3" t="inlineStr">
        <is>
          <t>먼저 알아 두실 것 — 기준 문구는 '어디서부터'와 '어디까지'입니다</t>
        </is>
      </c>
    </row>
    <row r="9">
      <c r="B9" s="2" t="inlineStr">
        <is>
          <t>기준 문구를 하나만 적으면 그 말 뒤부터 셀 끝까지 전부 나갑니다. 즉 정답과 풀이까지 따라 나옵니다.</t>
        </is>
      </c>
    </row>
    <row r="10">
      <c r="B10" s="2" t="inlineStr">
        <is>
          <t>두 개를 쉼표로 적으면 첫 번째 말 뒤부터 두 번째 말 앞까지만 나갑니다. 두 번째 기준이 '여기서 끊어라'는 표시입니다.</t>
        </is>
      </c>
    </row>
    <row r="12" ht="24" customHeight="1" s="23">
      <c r="B12" s="3" t="inlineStr">
        <is>
          <t>준비물</t>
        </is>
      </c>
    </row>
    <row r="13" ht="36" customHeight="1" s="23">
      <c r="B13" s="6" t="inlineStr">
        <is>
          <t>한글(HWP) 프로그램이 설치되어 있어야 합니다. 한글의 [도구] → [환경 설정] → [기타] 에서 '외부 프로그램에서 한글 문서에 접근 허용'이 켜져 있어야 합니다. 꺼져 있으면 '한글 COM 객체를 만들 수 없습니다' 라는 안내가 뜹니다.</t>
        </is>
      </c>
    </row>
    <row r="15" ht="24" customHeight="1" s="23">
      <c r="B15" s="3" t="inlineStr">
        <is>
          <t>학생용 시험지 만들기</t>
        </is>
      </c>
    </row>
    <row r="16" ht="22" customHeight="1" s="23">
      <c r="B16" s="4" t="inlineStr">
        <is>
          <t>1.  [2_문항 만들기] 시트에서 G2 부터 G16 까지 끌어 선택합니다.  (반드시 한 열만)</t>
        </is>
      </c>
    </row>
    <row r="17" ht="22" customHeight="1" s="23">
      <c r="B17" s="4" t="inlineStr">
        <is>
          <t>2.  [데이터] 탭 → [API 메뉴] → [DRM AI v10.7] → [일반 기능] → [한글 파일 만들기]</t>
        </is>
      </c>
    </row>
    <row r="18" ht="22" customHeight="1" s="23">
      <c r="B18" s="4" t="inlineStr">
        <is>
          <t>3.  '한글 파일 생성 범위 선택' → 선택한 범위를 확인하고 [확인].</t>
        </is>
      </c>
    </row>
    <row r="19" ht="22" customHeight="1" s="23">
      <c r="B19" s="4" t="inlineStr">
        <is>
          <t>4.  '분할 문구 입력' → 기본값 #전체를 보냄 을 지우고    ## [문항 구성],**정답:**    을 입력.</t>
        </is>
      </c>
    </row>
    <row r="20" ht="22" customHeight="1" s="23">
      <c r="B20" s="4" t="inlineStr">
        <is>
          <t>5.  '기준 문구 포함 여부' → [아니오]</t>
        </is>
      </c>
    </row>
    <row r="21" ht="22" customHeight="1" s="23">
      <c r="B21" s="4" t="inlineStr">
        <is>
          <t>6.  '연번 적용' → [예]      1. 2. 3. … 번호가 자동으로 붙습니다.</t>
        </is>
      </c>
    </row>
    <row r="22" ht="22" customHeight="1" s="23">
      <c r="B22" s="4" t="inlineStr">
        <is>
          <t>7.  저장할 폴더를 고릅니다.</t>
        </is>
      </c>
    </row>
    <row r="23" ht="22" customHeight="1" s="23">
      <c r="B23" s="4" t="inlineStr">
        <is>
          <t>8.  파일 이름을 적습니다.  예)  2026_2학기_2학년사회_기말고사</t>
        </is>
      </c>
    </row>
    <row r="24" ht="22" customHeight="1" s="23">
      <c r="B24" s="4" t="inlineStr">
        <is>
          <t>9.  한글이 열리면서 파일이 만들어집니다.</t>
        </is>
      </c>
    </row>
    <row r="26" ht="24" customHeight="1" s="23">
      <c r="B26" s="3" t="inlineStr">
        <is>
          <t>교사용 정답지 만들기</t>
        </is>
      </c>
    </row>
    <row r="27">
      <c r="B27" s="2" t="inlineStr">
        <is>
          <t>같은 순서를 한 번 더 하되 4·5단계만 다르게 합니다.</t>
        </is>
      </c>
    </row>
    <row r="28" ht="22" customHeight="1" s="23">
      <c r="B28" s="4" t="inlineStr">
        <is>
          <t>4.  '분할 문구 입력' →    **정답:**    하나만 입력.</t>
        </is>
      </c>
    </row>
    <row r="29" ht="22" customHeight="1" s="23">
      <c r="B29" s="4" t="inlineStr">
        <is>
          <t>5.  '기준 문구 포함 여부' → [예]      (정답: 이라는 라벨까지 함께 나옵니다)</t>
        </is>
      </c>
    </row>
    <row r="30" ht="22" customHeight="1" s="23">
      <c r="B30" s="4" t="inlineStr">
        <is>
          <t>8.  파일 이름을 다르게.  예)  2026_2학기_2학년사회_기말고사_정답지</t>
        </is>
      </c>
    </row>
    <row r="32" ht="24" customHeight="1" s="23">
      <c r="B32" s="3" t="inlineStr">
        <is>
          <t>보내기 전에 한 번 정리하면 훨씬 깔끔합니다</t>
        </is>
      </c>
    </row>
    <row r="33" ht="34" customHeight="1" s="23">
      <c r="B33" s="5" t="inlineStr">
        <is>
          <t>미션 2에서 배운 [마크다운 문법 기호, 빈 줄 정리] 를 G열에 먼저 돌리세요. ** 와 ## 기호가 사라져 시험지가 바로 인쇄할 수 있는 모양이 됩니다. 옵션은 1,2,4,6,11 을 권합니다.</t>
        </is>
      </c>
    </row>
    <row r="34" ht="48" customHeight="1" s="23">
      <c r="B34" s="6" t="inlineStr">
        <is>
          <t>다만 마크다운을 지우면 분할 기준도 함께 바뀝니다. ** 를 지웠으면 분할 문구를   [문항 구성],정답:  처럼 기호 없는 형태로 적어야 합니다. 정리를 했으면 기호 없는 기준을, 하지 않았으면 위 4번의 ## [문항 구성],**정답:** 을 적으세요. 둘을 섞지 마세요.</t>
        </is>
      </c>
    </row>
    <row r="36" ht="24" customHeight="1" s="23">
      <c r="B36" s="3" t="inlineStr">
        <is>
          <t>알아 두실 것</t>
        </is>
      </c>
    </row>
    <row r="37">
      <c r="B37" s="2" t="inlineStr">
        <is>
          <t>· 한 열만 선택할 수 있습니다. 떨어져 있는 여러 범위는 한 번에 처리되지 않습니다.</t>
        </is>
      </c>
    </row>
    <row r="38">
      <c r="B38" s="2" t="inlineStr">
        <is>
          <t>· 선택한 행이 모두 한 개 파일로 들어갑니다. 문항별로 파일을 나누는 기능은 없습니다.</t>
        </is>
      </c>
    </row>
    <row r="39">
      <c r="B39" s="2" t="inlineStr">
        <is>
          <t>· 파일 이름 끝에 .hwpx 를 직접 붙이면 HWPX 형식으로 저장됩니다. 아무것도 안 붙이면 .hwp 입니다.</t>
        </is>
      </c>
    </row>
    <row r="40">
      <c r="B40" s="2" t="inlineStr">
        <is>
          <t>· 같은 이름의 파일이 있으면 덮어쓸지 물어봅니다.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808080"/>
    <outlinePr summaryBelow="1" summaryRight="1"/>
    <pageSetUpPr/>
  </sheetPr>
  <dimension ref="A1:B3"/>
  <sheetViews>
    <sheetView workbookViewId="0">
      <selection activeCell="B2" sqref="B2"/>
    </sheetView>
  </sheetViews>
  <sheetFormatPr baseColWidth="8" defaultRowHeight="17"/>
  <cols>
    <col width="14" customWidth="1" style="23" min="1" max="1"/>
    <col width="165.08203125" customWidth="1" style="23" min="2" max="2"/>
  </cols>
  <sheetData>
    <row r="1" ht="26" customHeight="1" s="23">
      <c r="A1" s="16" t="inlineStr">
        <is>
          <t>번호</t>
        </is>
      </c>
      <c r="B1" s="16" t="inlineStr">
        <is>
          <t>이런 모양으로 나옵니다</t>
        </is>
      </c>
    </row>
    <row r="2" ht="409.6" customHeight="1" s="23">
      <c r="A2" s="21" t="inlineStr">
        <is>
          <t>그림 없는 예</t>
        </is>
      </c>
      <c r="B2" s="26" t="inlineStr">
        <is>
          <t>## [그림 생성 프롬프트]
없음
## [문항 구성]
**질문:** 다음 대화에 나타난 현상에 대한 설명으로 가장 적절한 것은? (4점)
**[자료]:**
[모바일 메신저 대화창]
**지우:** 주말에 할머니 댁 다녀왔는데, 할머니 어릴 적엔 우리 동네가 다 허허벌판이었대!
**민수:** 정말? 지금은 높은 빌딩이랑 공원이 엄청 많은데? 상상이 안 간다.
**지우:** 응! 예전엔 시설이 없어서 강에서 물놀이만 했었는데, 지금은 자전거도 타고 캠핑도 할 수 있게 변했어.
**민수:** 우와, 우리나라 경제가 크게 발전하면서 우리 생활 모습도 정말 많이 달라졌구나.
**선택지:**
① 빈부 격차가 해소된다.
② 물질적 풍요가 감소한다.
③ 일자리가 늘고 소득이 증가한다.
④ 명목 국내 총생산의 증가율로 측정한다.
⑤ 국민의 삶의 질과 항상 비례하여 높아진다.
**정답:** ③
**설명:**
- **[정답 풀이]:** 대화에 나타난 현상은 '경제 성장'입니다. 경제가 성장하여 한 나라의 생산 능력이 커지면 재화와 서비스의 생산이 늘어나 일자리가 창출되고 국민 소득이 증가합니다.
- **[오답 풀이]:**
① 경제가 성장하더라도 그 혜택이 고루 분배되지 않으면 빈부 격차가 오히려 확대될 수 있습니다.
② 경제 성장은 재화와 서비스의 총량이 커지는 것이므로 물질적 풍요는 증가합니다.
④ 경제 성장 정도는 물가 변동의 영향을 제거한 '실질 국내 총생산'의 증가율로 측정합니다.
⑤ 장시간 근로, 환경 오염 등의 문제가 생길 수 있으므로 삶의 질이 반드시 비례하여 높아지지는 않습니다.</t>
        </is>
      </c>
    </row>
    <row r="3" ht="406" customHeight="1" s="23">
      <c r="A3" s="21" t="inlineStr">
        <is>
          <t>그림 있는 예</t>
        </is>
      </c>
      <c r="B3" s="26" t="inlineStr">
        <is>
          <t>## [그림 생성 프롬프트]
&gt; **Prompt:** 시험 출제용 흑백 라인 아트. 가로축은 연도(2022~2026), 세로축은 물가 지수(90~130)인 꺾은선 그래프 한 개. 2024년을 기준 연도로 표시하고 그 지점에 100 이라는 값 표시. 2026년 지점에 120 이라는 값 표시. 격자선은 옅은 회색 실선, 그래프 선은 굵은 검정 실선. 글자는 한글, 장식 없음.
&gt; **Description:** 기준 연도(2024년 = 100)와 비교 시점(2026년 = 120)을 학생이 눈으로 확인할 수 있어야 함. 축 제목은 '연도'와 '물가 지수'.
## [문항 구성]
**질문:** 다음 그래프에 대한 설명으로 가장 적절한 것은? (3.3점)
**[자료]:**
(위 그림 생성 프롬프트로 만든 물가 지수 그래프)
**선택지:**
① 물가가 120원 올랐다.
② 물가가 120% 상승하였다.
③ 화폐의 가치가 상승하였다.
④ 2024년의 물가 지수는 120이다.
⑤ 기준 연도보다 물가가 20% 상승하였다.
**정답:** ⑤
**설명:**
- **[정답 풀이]:** 물가 지수는 기준 시점의 물가 수준을 100으로 놓고 비교 시점의 물가 수준을 백분율로 나타낸 값입니다. 기준 연도 100에서 120이 되었으므로 20% 상승한 것입니다.
- **[오답 풀이]:**
① 물가 지수는 금액(원)이 아니라 비율을 나타냅니다.
② 100에서 120으로 변했으므로 상승률은 20%입니다.
③ 물가가 오르면 같은 돈으로 살 수 있는 양이 줄어 화폐 가치는 하락합니다.
④ 기준 연도의 물가 지수는 항상 100입니다.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DRM AI 실습 자료</dc:creator>
  <dcterms:created xmlns:dcterms="http://purl.org/dc/terms/" xmlns:xsi="http://www.w3.org/2001/XMLSchema-instance" xsi:type="dcterms:W3CDTF">2026-08-25T09:32:57Z</dcterms:created>
  <dcterms:modified xmlns:dcterms="http://purl.org/dc/terms/" xmlns:xsi="http://www.w3.org/2001/XMLSchema-instance" xsi:type="dcterms:W3CDTF">2026-08-25T14:52:46Z</dcterms:modified>
</cp:coreProperties>
</file>

<file path=docProps/custom.xml><?xml version="1.0" encoding="utf-8"?>
<Properties xmlns="http://schemas.openxmlformats.org/officeDocument/2006/custom-properties">
  <property name="DocumentId" fmtid="{D5CDD505-2E9C-101B-9397-08002B2CF9AE}" pid="2">
    <vt:lpwstr xmlns:vt="http://schemas.openxmlformats.org/officeDocument/2006/docPropsVTypes">a8484d3f-5d35-4e3d-ad9c-72c4f45bf688</vt:lpwstr>
  </property>
</Properties>
</file>